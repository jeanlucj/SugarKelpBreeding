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showInkAnnotation="0" autoCompressPictures="0"/>
  <bookViews>
    <workbookView xWindow="1140" yWindow="0" windowWidth="23920" windowHeight="13260" tabRatio="500" activeTab="1"/>
  </bookViews>
  <sheets>
    <sheet name="Genetic_cor_among_3YRs_WRONG" sheetId="1" r:id="rId1"/>
    <sheet name="GBLUP_among_3YRs" sheetId="2" r:id="rId2"/>
  </sheets>
  <externalReferences>
    <externalReference r:id="rId3"/>
  </externalReference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3" i="2" l="1"/>
  <c r="M2" i="2"/>
</calcChain>
</file>

<file path=xl/sharedStrings.xml><?xml version="1.0" encoding="utf-8"?>
<sst xmlns="http://schemas.openxmlformats.org/spreadsheetml/2006/main" count="70" uniqueCount="30">
  <si>
    <t>Yr19_Yr20</t>
  </si>
  <si>
    <t>Yr20_Yr21</t>
  </si>
  <si>
    <t>Yr19_Yr21</t>
  </si>
  <si>
    <t>Log-Likelihood not converged</t>
  </si>
  <si>
    <t>wetWgtPerM</t>
  </si>
  <si>
    <t>percDryWgt</t>
  </si>
  <si>
    <t>dryWgtPerM</t>
  </si>
  <si>
    <t>densityBlades</t>
  </si>
  <si>
    <t>bladeLength</t>
  </si>
  <si>
    <t>bladeMaxWidth</t>
  </si>
  <si>
    <t>bladeThickness</t>
  </si>
  <si>
    <t>stipeLength</t>
  </si>
  <si>
    <t>stipeDiameter</t>
  </si>
  <si>
    <t>Yr1920_Yr21</t>
  </si>
  <si>
    <t>GBLUP</t>
  </si>
  <si>
    <t>pDW</t>
  </si>
  <si>
    <t>DWpM</t>
  </si>
  <si>
    <t>BmWid</t>
  </si>
  <si>
    <t>BTh</t>
  </si>
  <si>
    <t>wetWgtPlot</t>
  </si>
  <si>
    <t>plotDensity</t>
  </si>
  <si>
    <t>h2</t>
  </si>
  <si>
    <t>BL</t>
  </si>
  <si>
    <t>SL</t>
  </si>
  <si>
    <t>07172021 Corrected for indiv traits</t>
  </si>
  <si>
    <t>WWpM</t>
  </si>
  <si>
    <t>BD</t>
  </si>
  <si>
    <t>Sdia</t>
  </si>
  <si>
    <t>Yr19 predict Yr20</t>
  </si>
  <si>
    <t>Yr20 predict Yr19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</si>
</sst>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6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0" fontId="4" fillId="0" borderId="1" xfId="0" applyFont="1" applyFill="1" applyBorder="1" applyAlignment="1">
      <alignment vertical="center"/>
    </xf>
    <xf numFmtId="0" fontId="5" fillId="0" borderId="0" xfId="0" applyFont="1"/>
    <xf numFmtId="2" fontId="5" fillId="0" borderId="0" xfId="0" applyNumberFormat="1" applyFont="1"/>
  </cellXfs>
  <cellStyles count="6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559413027916965"/>
          <c:y val="0.0693240901213171"/>
          <c:w val="0.783246654919883"/>
          <c:h val="0.909878682842288"/>
        </c:manualLayout>
      </c:layout>
      <c:barChart>
        <c:barDir val="col"/>
        <c:grouping val="clustered"/>
        <c:varyColors val="0"/>
        <c:ser>
          <c:idx val="0"/>
          <c:order val="0"/>
          <c:tx>
            <c:v>Yr19 and Yr20</c:v>
          </c:tx>
          <c:invertIfNegative val="0"/>
          <c:cat>
            <c:numRef>
              <c:f>Genetic_cor_among_3YRs_WRONG!$A$9:$A$16</c:f>
              <c:numCache>
                <c:formatCode>General</c:formatCode>
                <c:ptCount val="8"/>
              </c:numCache>
            </c:numRef>
          </c:cat>
          <c:val>
            <c:numRef>
              <c:f>Genetic_cor_among_3YRs_WRONG!$C$9:$C$16</c:f>
              <c:numCache>
                <c:formatCode>General</c:formatCode>
                <c:ptCount val="8"/>
                <c:pt idx="0">
                  <c:v>0.6703087</c:v>
                </c:pt>
                <c:pt idx="1">
                  <c:v>-0.325674</c:v>
                </c:pt>
                <c:pt idx="2">
                  <c:v>0.6728569</c:v>
                </c:pt>
                <c:pt idx="3">
                  <c:v>0.2894317</c:v>
                </c:pt>
                <c:pt idx="4">
                  <c:v>0.192223</c:v>
                </c:pt>
                <c:pt idx="5">
                  <c:v>0.3253664</c:v>
                </c:pt>
                <c:pt idx="6">
                  <c:v>0.5124043</c:v>
                </c:pt>
                <c:pt idx="7">
                  <c:v>0.6647694</c:v>
                </c:pt>
              </c:numCache>
            </c:numRef>
          </c:val>
        </c:ser>
        <c:ser>
          <c:idx val="1"/>
          <c:order val="1"/>
          <c:tx>
            <c:v>Yr20 and Yr21</c:v>
          </c:tx>
          <c:invertIfNegative val="0"/>
          <c:cat>
            <c:numRef>
              <c:f>Genetic_cor_among_3YRs_WRONG!$A$9:$A$16</c:f>
              <c:numCache>
                <c:formatCode>General</c:formatCode>
                <c:ptCount val="8"/>
              </c:numCache>
            </c:numRef>
          </c:cat>
          <c:val>
            <c:numRef>
              <c:f>Genetic_cor_among_3YRs_WRONG!$D$9:$D$16</c:f>
              <c:numCache>
                <c:formatCode>General</c:formatCode>
                <c:ptCount val="8"/>
                <c:pt idx="0">
                  <c:v>0.9189281</c:v>
                </c:pt>
                <c:pt idx="1">
                  <c:v>0.8134743</c:v>
                </c:pt>
                <c:pt idx="2">
                  <c:v>0.8862294</c:v>
                </c:pt>
                <c:pt idx="3">
                  <c:v>-0.7809154</c:v>
                </c:pt>
                <c:pt idx="4">
                  <c:v>-0.8971803</c:v>
                </c:pt>
                <c:pt idx="5">
                  <c:v>-0.9977463</c:v>
                </c:pt>
                <c:pt idx="6">
                  <c:v>-0.8601306</c:v>
                </c:pt>
                <c:pt idx="7">
                  <c:v>-0.6869977</c:v>
                </c:pt>
              </c:numCache>
            </c:numRef>
          </c:val>
        </c:ser>
        <c:ser>
          <c:idx val="2"/>
          <c:order val="2"/>
          <c:tx>
            <c:v>Yr19 and Yr21</c:v>
          </c:tx>
          <c:invertIfNegative val="0"/>
          <c:cat>
            <c:numRef>
              <c:f>Genetic_cor_among_3YRs_WRONG!$A$9:$A$16</c:f>
              <c:numCache>
                <c:formatCode>General</c:formatCode>
                <c:ptCount val="8"/>
              </c:numCache>
            </c:numRef>
          </c:cat>
          <c:val>
            <c:numRef>
              <c:f>Genetic_cor_among_3YRs_WRONG!$E$9:$E$16</c:f>
              <c:numCache>
                <c:formatCode>General</c:formatCode>
                <c:ptCount val="8"/>
                <c:pt idx="0">
                  <c:v>0.915118413151393</c:v>
                </c:pt>
                <c:pt idx="1">
                  <c:v>0.96037178045966</c:v>
                </c:pt>
                <c:pt idx="2">
                  <c:v>0.896556563660271</c:v>
                </c:pt>
                <c:pt idx="3">
                  <c:v>-0.5773689</c:v>
                </c:pt>
                <c:pt idx="4">
                  <c:v>-0.754538</c:v>
                </c:pt>
                <c:pt idx="5">
                  <c:v>-0.7073215</c:v>
                </c:pt>
                <c:pt idx="6">
                  <c:v>-0.7182861</c:v>
                </c:pt>
                <c:pt idx="7">
                  <c:v>0.947426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9158792"/>
        <c:axId val="-2117407480"/>
      </c:barChart>
      <c:catAx>
        <c:axId val="1939158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117407480"/>
        <c:crosses val="autoZero"/>
        <c:auto val="1"/>
        <c:lblAlgn val="ctr"/>
        <c:lblOffset val="100"/>
        <c:noMultiLvlLbl val="0"/>
      </c:catAx>
      <c:valAx>
        <c:axId val="-21174074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9391587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674720999441999"/>
          <c:y val="0.0769230769230769"/>
          <c:w val="0.727834025668051"/>
          <c:h val="0.67400399045142"/>
        </c:manualLayout>
      </c:layout>
      <c:barChart>
        <c:barDir val="col"/>
        <c:grouping val="clustered"/>
        <c:varyColors val="0"/>
        <c:ser>
          <c:idx val="0"/>
          <c:order val="0"/>
          <c:tx>
            <c:v>TP: Yr2019</c:v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GBLUP_among_3YRs!$C$5:$K$5</c:f>
              <c:strCache>
                <c:ptCount val="9"/>
                <c:pt idx="0">
                  <c:v>DWpM</c:v>
                </c:pt>
                <c:pt idx="1">
                  <c:v>WWpM</c:v>
                </c:pt>
                <c:pt idx="2">
                  <c:v>pDW</c:v>
                </c:pt>
                <c:pt idx="3">
                  <c:v>BD</c:v>
                </c:pt>
                <c:pt idx="4">
                  <c:v>BL</c:v>
                </c:pt>
                <c:pt idx="5">
                  <c:v>BmWid</c:v>
                </c:pt>
                <c:pt idx="6">
                  <c:v>BTh</c:v>
                </c:pt>
                <c:pt idx="7">
                  <c:v>SL</c:v>
                </c:pt>
                <c:pt idx="8">
                  <c:v>Sdia</c:v>
                </c:pt>
              </c:strCache>
            </c:strRef>
          </c:cat>
          <c:val>
            <c:numRef>
              <c:f>GBLUP_among_3YRs!$C$2:$K$2</c:f>
              <c:numCache>
                <c:formatCode>General</c:formatCode>
                <c:ptCount val="9"/>
                <c:pt idx="0">
                  <c:v>0.21500835339038</c:v>
                </c:pt>
                <c:pt idx="1">
                  <c:v>0.240378717428011</c:v>
                </c:pt>
                <c:pt idx="2">
                  <c:v>0.0295925429399892</c:v>
                </c:pt>
                <c:pt idx="4">
                  <c:v>0.239421408540162</c:v>
                </c:pt>
                <c:pt idx="5">
                  <c:v>0.303746788255227</c:v>
                </c:pt>
                <c:pt idx="6">
                  <c:v>0.0783719816893105</c:v>
                </c:pt>
                <c:pt idx="7">
                  <c:v>0.382979129536068</c:v>
                </c:pt>
                <c:pt idx="8">
                  <c:v>0.523695437375054</c:v>
                </c:pt>
              </c:numCache>
            </c:numRef>
          </c:val>
        </c:ser>
        <c:ser>
          <c:idx val="1"/>
          <c:order val="1"/>
          <c:tx>
            <c:v>TP: Yr2020</c:v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strRef>
              <c:f>GBLUP_among_3YRs!$C$5:$K$5</c:f>
              <c:strCache>
                <c:ptCount val="9"/>
                <c:pt idx="0">
                  <c:v>DWpM</c:v>
                </c:pt>
                <c:pt idx="1">
                  <c:v>WWpM</c:v>
                </c:pt>
                <c:pt idx="2">
                  <c:v>pDW</c:v>
                </c:pt>
                <c:pt idx="3">
                  <c:v>BD</c:v>
                </c:pt>
                <c:pt idx="4">
                  <c:v>BL</c:v>
                </c:pt>
                <c:pt idx="5">
                  <c:v>BmWid</c:v>
                </c:pt>
                <c:pt idx="6">
                  <c:v>BTh</c:v>
                </c:pt>
                <c:pt idx="7">
                  <c:v>SL</c:v>
                </c:pt>
                <c:pt idx="8">
                  <c:v>Sdia</c:v>
                </c:pt>
              </c:strCache>
            </c:strRef>
          </c:cat>
          <c:val>
            <c:numRef>
              <c:f>GBLUP_among_3YRs!$C$3:$K$3</c:f>
              <c:numCache>
                <c:formatCode>General</c:formatCode>
                <c:ptCount val="9"/>
                <c:pt idx="0">
                  <c:v>0.256987390249432</c:v>
                </c:pt>
                <c:pt idx="1">
                  <c:v>0.025101560939601</c:v>
                </c:pt>
                <c:pt idx="2">
                  <c:v>0.292892910691637</c:v>
                </c:pt>
                <c:pt idx="3">
                  <c:v>0.136077862251334</c:v>
                </c:pt>
                <c:pt idx="4">
                  <c:v>0.370431795957093</c:v>
                </c:pt>
                <c:pt idx="5">
                  <c:v>0.388816944616789</c:v>
                </c:pt>
                <c:pt idx="6">
                  <c:v>0.0158280799174274</c:v>
                </c:pt>
                <c:pt idx="7">
                  <c:v>0.26754431886759</c:v>
                </c:pt>
                <c:pt idx="8">
                  <c:v>0.240246883035268</c:v>
                </c:pt>
              </c:numCache>
            </c:numRef>
          </c:val>
        </c:ser>
        <c:ser>
          <c:idx val="2"/>
          <c:order val="2"/>
          <c:tx>
            <c:v>TP: Yr2019+2020</c:v>
          </c:tx>
          <c:spPr>
            <a:solidFill>
              <a:schemeClr val="accent3">
                <a:lumMod val="75000"/>
              </a:schemeClr>
            </a:solidFill>
          </c:spPr>
          <c:invertIfNegative val="0"/>
          <c:cat>
            <c:strRef>
              <c:f>GBLUP_among_3YRs!$C$5:$K$5</c:f>
              <c:strCache>
                <c:ptCount val="9"/>
                <c:pt idx="0">
                  <c:v>DWpM</c:v>
                </c:pt>
                <c:pt idx="1">
                  <c:v>WWpM</c:v>
                </c:pt>
                <c:pt idx="2">
                  <c:v>pDW</c:v>
                </c:pt>
                <c:pt idx="3">
                  <c:v>BD</c:v>
                </c:pt>
                <c:pt idx="4">
                  <c:v>BL</c:v>
                </c:pt>
                <c:pt idx="5">
                  <c:v>BmWid</c:v>
                </c:pt>
                <c:pt idx="6">
                  <c:v>BTh</c:v>
                </c:pt>
                <c:pt idx="7">
                  <c:v>SL</c:v>
                </c:pt>
                <c:pt idx="8">
                  <c:v>Sdia</c:v>
                </c:pt>
              </c:strCache>
            </c:strRef>
          </c:cat>
          <c:val>
            <c:numRef>
              <c:f>GBLUP_among_3YRs!$C$4:$K$4</c:f>
              <c:numCache>
                <c:formatCode>General</c:formatCode>
                <c:ptCount val="9"/>
                <c:pt idx="0">
                  <c:v>0.242671450704156</c:v>
                </c:pt>
                <c:pt idx="1">
                  <c:v>0.0571035210275157</c:v>
                </c:pt>
                <c:pt idx="2">
                  <c:v>0.227030305987779</c:v>
                </c:pt>
                <c:pt idx="3">
                  <c:v>0.0853063840243675</c:v>
                </c:pt>
                <c:pt idx="4">
                  <c:v>0.164726082735345</c:v>
                </c:pt>
                <c:pt idx="5">
                  <c:v>0.319618423532567</c:v>
                </c:pt>
                <c:pt idx="6">
                  <c:v>0.0277352437125336</c:v>
                </c:pt>
                <c:pt idx="8">
                  <c:v>0.0641597402420307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0857416"/>
        <c:axId val="1959002760"/>
      </c:barChart>
      <c:catAx>
        <c:axId val="1950857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959002760"/>
        <c:crosses val="autoZero"/>
        <c:auto val="1"/>
        <c:lblAlgn val="ctr"/>
        <c:lblOffset val="100"/>
        <c:noMultiLvlLbl val="0"/>
      </c:catAx>
      <c:valAx>
        <c:axId val="19590027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9508574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619905153901217"/>
          <c:y val="0.0249480249480249"/>
          <c:w val="0.841143521832498"/>
          <c:h val="0.826986756593056"/>
        </c:manualLayout>
      </c:layout>
      <c:barChart>
        <c:barDir val="col"/>
        <c:grouping val="clustered"/>
        <c:varyColors val="0"/>
        <c:ser>
          <c:idx val="0"/>
          <c:order val="0"/>
          <c:tx>
            <c:v>Yr19 predict Yr20</c:v>
          </c:tx>
          <c:spPr>
            <a:pattFill prst="ltDnDiag">
              <a:fgClr>
                <a:schemeClr val="tx1"/>
              </a:fgClr>
              <a:bgClr>
                <a:schemeClr val="tx2">
                  <a:lumMod val="60000"/>
                  <a:lumOff val="40000"/>
                </a:schemeClr>
              </a:bgClr>
            </a:pattFill>
          </c:spPr>
          <c:invertIfNegative val="0"/>
          <c:cat>
            <c:strRef>
              <c:f>GBLUP_among_3YRs!$C$5:$K$5</c:f>
              <c:strCache>
                <c:ptCount val="9"/>
                <c:pt idx="0">
                  <c:v>DWpM</c:v>
                </c:pt>
                <c:pt idx="1">
                  <c:v>WWpM</c:v>
                </c:pt>
                <c:pt idx="2">
                  <c:v>pDW</c:v>
                </c:pt>
                <c:pt idx="3">
                  <c:v>BD</c:v>
                </c:pt>
                <c:pt idx="4">
                  <c:v>BL</c:v>
                </c:pt>
                <c:pt idx="5">
                  <c:v>BmWid</c:v>
                </c:pt>
                <c:pt idx="6">
                  <c:v>BTh</c:v>
                </c:pt>
                <c:pt idx="7">
                  <c:v>SL</c:v>
                </c:pt>
                <c:pt idx="8">
                  <c:v>Sdia</c:v>
                </c:pt>
              </c:strCache>
            </c:strRef>
          </c:cat>
          <c:val>
            <c:numRef>
              <c:f>GBLUP_among_3YRs!$C$25:$K$25</c:f>
              <c:numCache>
                <c:formatCode>0.00</c:formatCode>
                <c:ptCount val="9"/>
                <c:pt idx="0">
                  <c:v>0.155014061</c:v>
                </c:pt>
                <c:pt idx="1">
                  <c:v>0.194315543</c:v>
                </c:pt>
                <c:pt idx="4">
                  <c:v>0.346087447</c:v>
                </c:pt>
                <c:pt idx="5">
                  <c:v>0.344955126</c:v>
                </c:pt>
                <c:pt idx="6">
                  <c:v>0.056733138</c:v>
                </c:pt>
                <c:pt idx="7">
                  <c:v>0.325152607</c:v>
                </c:pt>
                <c:pt idx="8">
                  <c:v>0.360213727</c:v>
                </c:pt>
              </c:numCache>
            </c:numRef>
          </c:val>
        </c:ser>
        <c:ser>
          <c:idx val="1"/>
          <c:order val="1"/>
          <c:tx>
            <c:v>Yr20 predict Yr19</c:v>
          </c:tx>
          <c:spPr>
            <a:pattFill prst="ltDnDiag">
              <a:fgClr>
                <a:schemeClr val="tx1"/>
              </a:fgClr>
              <a:bgClr>
                <a:schemeClr val="accent6">
                  <a:lumMod val="60000"/>
                  <a:lumOff val="40000"/>
                </a:schemeClr>
              </a:bgClr>
            </a:pattFill>
          </c:spPr>
          <c:invertIfNegative val="0"/>
          <c:cat>
            <c:strRef>
              <c:f>GBLUP_among_3YRs!$C$5:$K$5</c:f>
              <c:strCache>
                <c:ptCount val="9"/>
                <c:pt idx="0">
                  <c:v>DWpM</c:v>
                </c:pt>
                <c:pt idx="1">
                  <c:v>WWpM</c:v>
                </c:pt>
                <c:pt idx="2">
                  <c:v>pDW</c:v>
                </c:pt>
                <c:pt idx="3">
                  <c:v>BD</c:v>
                </c:pt>
                <c:pt idx="4">
                  <c:v>BL</c:v>
                </c:pt>
                <c:pt idx="5">
                  <c:v>BmWid</c:v>
                </c:pt>
                <c:pt idx="6">
                  <c:v>BTh</c:v>
                </c:pt>
                <c:pt idx="7">
                  <c:v>SL</c:v>
                </c:pt>
                <c:pt idx="8">
                  <c:v>Sdia</c:v>
                </c:pt>
              </c:strCache>
            </c:strRef>
          </c:cat>
          <c:val>
            <c:numRef>
              <c:f>GBLUP_among_3YRs!$C$26:$K$26</c:f>
              <c:numCache>
                <c:formatCode>0.00</c:formatCode>
                <c:ptCount val="9"/>
                <c:pt idx="0">
                  <c:v>0.176212466433062</c:v>
                </c:pt>
                <c:pt idx="1">
                  <c:v>0.242605311494363</c:v>
                </c:pt>
                <c:pt idx="4">
                  <c:v>0.39478523849171</c:v>
                </c:pt>
                <c:pt idx="5">
                  <c:v>0.347969405722789</c:v>
                </c:pt>
                <c:pt idx="6">
                  <c:v>0.0624799965210711</c:v>
                </c:pt>
                <c:pt idx="7">
                  <c:v>0.359808240288665</c:v>
                </c:pt>
                <c:pt idx="8">
                  <c:v>0.44984631182525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1264920"/>
        <c:axId val="1964668712"/>
      </c:barChart>
      <c:catAx>
        <c:axId val="1951264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964668712"/>
        <c:crosses val="autoZero"/>
        <c:auto val="1"/>
        <c:lblAlgn val="ctr"/>
        <c:lblOffset val="100"/>
        <c:noMultiLvlLbl val="0"/>
      </c:catAx>
      <c:valAx>
        <c:axId val="1964668712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1951264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13671617752326"/>
          <c:y val="0.0880128341545664"/>
          <c:w val="0.203047423049392"/>
          <c:h val="0.16700967472621"/>
        </c:manualLayout>
      </c:layout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469900</xdr:colOff>
      <xdr:row>6</xdr:row>
      <xdr:rowOff>88900</xdr:rowOff>
    </xdr:from>
    <xdr:to>
      <xdr:col>18</xdr:col>
      <xdr:colOff>304800</xdr:colOff>
      <xdr:row>25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6</xdr:row>
      <xdr:rowOff>127000</xdr:rowOff>
    </xdr:from>
    <xdr:to>
      <xdr:col>6</xdr:col>
      <xdr:colOff>203200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304800</xdr:colOff>
      <xdr:row>7</xdr:row>
      <xdr:rowOff>0</xdr:rowOff>
    </xdr:from>
    <xdr:to>
      <xdr:col>15</xdr:col>
      <xdr:colOff>114300</xdr:colOff>
      <xdr:row>22</xdr:row>
      <xdr:rowOff>196850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ohuang/Desktop/Kelp/GCA_SCA/GS_cor_GS_Heritability_M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Without_FMLoc_cor_BLUE_raw_mode"/>
      <sheetName val="GS_cor_Table"/>
      <sheetName val="Table1a_H2, 2a_GScor"/>
      <sheetName val="Table1b_Gen_cor"/>
      <sheetName val="Table 2b_BetweenLoc"/>
      <sheetName val="GCA_SCA_varcomp95%"/>
      <sheetName val="Mixed_PloidyT1a,2a,2b GCA95%"/>
      <sheetName val="CompareModels_PlotLevelTraits_R"/>
      <sheetName val="Mixed_Ploidy_T1a,2a,2b_950Indi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C1" t="str">
            <v>DWpM</v>
          </cell>
          <cell r="D1" t="str">
            <v>WWpM</v>
          </cell>
          <cell r="E1" t="str">
            <v>pDW</v>
          </cell>
          <cell r="F1" t="str">
            <v>BD</v>
          </cell>
          <cell r="G1" t="str">
            <v>BL</v>
          </cell>
          <cell r="H1" t="str">
            <v>BmWid</v>
          </cell>
          <cell r="I1" t="str">
            <v>BTh</v>
          </cell>
          <cell r="J1" t="str">
            <v>SL</v>
          </cell>
          <cell r="K1" t="str">
            <v>SDia</v>
          </cell>
        </row>
        <row r="15">
          <cell r="D15">
            <v>0.88945351205616896</v>
          </cell>
          <cell r="E15">
            <v>0.615620756341132</v>
          </cell>
          <cell r="G15">
            <v>0.96093156709613403</v>
          </cell>
          <cell r="H15">
            <v>0.80163384942932003</v>
          </cell>
          <cell r="I15">
            <v>0.72588042095767402</v>
          </cell>
          <cell r="J15">
            <v>0.60010286536858104</v>
          </cell>
          <cell r="K15">
            <v>0.96775367476059704</v>
          </cell>
        </row>
        <row r="16">
          <cell r="C16">
            <v>0.976087927904849</v>
          </cell>
          <cell r="D16">
            <v>0.94633085022473395</v>
          </cell>
          <cell r="E16">
            <v>0.94131140883727205</v>
          </cell>
          <cell r="F16">
            <v>0.99468769043412097</v>
          </cell>
          <cell r="G16">
            <v>0.93976448440246596</v>
          </cell>
          <cell r="H16">
            <v>0.99677285358287504</v>
          </cell>
          <cell r="I16">
            <v>0.89394449119885999</v>
          </cell>
          <cell r="J16">
            <v>0.62392404651533595</v>
          </cell>
          <cell r="K16">
            <v>0.73139892775372795</v>
          </cell>
        </row>
        <row r="17">
          <cell r="C17">
            <v>0.52447135342901297</v>
          </cell>
          <cell r="D17">
            <v>0.66961018354327895</v>
          </cell>
          <cell r="G17">
            <v>0.57150566458222896</v>
          </cell>
          <cell r="H17">
            <v>0.97282644459180101</v>
          </cell>
          <cell r="J17">
            <v>0.70450645914651</v>
          </cell>
          <cell r="K17">
            <v>0.96652710312355405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selection activeCell="F2" sqref="F2:F4"/>
    </sheetView>
  </sheetViews>
  <sheetFormatPr baseColWidth="10" defaultRowHeight="15" x14ac:dyDescent="0"/>
  <cols>
    <col min="1" max="1" width="25.1640625" bestFit="1" customWidth="1"/>
    <col min="2" max="2" width="12.1640625" bestFit="1" customWidth="1"/>
    <col min="3" max="3" width="11.1640625" bestFit="1" customWidth="1"/>
    <col min="4" max="4" width="12.1640625" bestFit="1" customWidth="1"/>
    <col min="5" max="5" width="13.83203125" customWidth="1"/>
  </cols>
  <sheetData>
    <row r="1" spans="1:10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10">
      <c r="A2" t="s">
        <v>0</v>
      </c>
      <c r="B2">
        <v>0.67030869999999998</v>
      </c>
      <c r="C2">
        <v>-0.32567400000000002</v>
      </c>
      <c r="D2">
        <v>0.67285689999999998</v>
      </c>
      <c r="E2">
        <v>-0.9857264</v>
      </c>
      <c r="F2">
        <v>0.28943170000000001</v>
      </c>
      <c r="G2">
        <v>0.192223</v>
      </c>
      <c r="H2">
        <v>0.3253664</v>
      </c>
      <c r="I2">
        <v>0.51240430000000003</v>
      </c>
      <c r="J2">
        <v>0.66476939999999995</v>
      </c>
    </row>
    <row r="3" spans="1:10">
      <c r="A3" t="s">
        <v>1</v>
      </c>
      <c r="B3" s="1">
        <v>0.91892810000000003</v>
      </c>
      <c r="C3" s="1">
        <v>0.81347429999999998</v>
      </c>
      <c r="D3" s="1">
        <v>0.88622939999999994</v>
      </c>
      <c r="E3" s="1">
        <v>0.96411800000000003</v>
      </c>
      <c r="F3">
        <v>-0.78091540000000004</v>
      </c>
      <c r="G3">
        <v>-0.89718030000000004</v>
      </c>
      <c r="H3">
        <v>-0.99774629999999997</v>
      </c>
      <c r="I3">
        <v>-0.86013059999999997</v>
      </c>
      <c r="J3">
        <v>-0.68699770000000004</v>
      </c>
    </row>
    <row r="4" spans="1:10">
      <c r="A4" t="s">
        <v>2</v>
      </c>
      <c r="B4">
        <v>0.91511841315139297</v>
      </c>
      <c r="C4">
        <v>0.96037178045965998</v>
      </c>
      <c r="D4">
        <v>0.89655656366027103</v>
      </c>
      <c r="E4">
        <v>0.12611695401152501</v>
      </c>
      <c r="F4">
        <v>-0.57736889999999996</v>
      </c>
      <c r="G4">
        <v>-0.75453800000000004</v>
      </c>
      <c r="H4">
        <v>-0.70732150000000005</v>
      </c>
      <c r="I4">
        <v>-0.71828610000000004</v>
      </c>
      <c r="J4">
        <v>0.94742599999999999</v>
      </c>
    </row>
    <row r="6" spans="1:10">
      <c r="A6" s="1" t="s">
        <v>3</v>
      </c>
    </row>
    <row r="8" spans="1:10">
      <c r="C8" t="s">
        <v>0</v>
      </c>
      <c r="D8" t="s">
        <v>1</v>
      </c>
      <c r="E8" t="s">
        <v>2</v>
      </c>
      <c r="G8" t="s">
        <v>21</v>
      </c>
    </row>
    <row r="9" spans="1:10">
      <c r="B9" t="s">
        <v>4</v>
      </c>
      <c r="C9">
        <v>0.67030869999999998</v>
      </c>
      <c r="D9">
        <v>0.91892810000000003</v>
      </c>
      <c r="E9">
        <v>0.91511841315139297</v>
      </c>
      <c r="F9" t="s">
        <v>6</v>
      </c>
      <c r="G9" s="2">
        <v>0.24488949392399401</v>
      </c>
    </row>
    <row r="10" spans="1:10">
      <c r="B10" t="s">
        <v>5</v>
      </c>
      <c r="C10">
        <v>-0.32567400000000002</v>
      </c>
      <c r="D10">
        <v>0.81347429999999998</v>
      </c>
      <c r="E10">
        <v>0.96037178045965998</v>
      </c>
      <c r="F10" t="s">
        <v>19</v>
      </c>
      <c r="G10" s="2">
        <v>0.22758949807811901</v>
      </c>
    </row>
    <row r="11" spans="1:10">
      <c r="B11" t="s">
        <v>6</v>
      </c>
      <c r="C11">
        <v>0.67285689999999998</v>
      </c>
      <c r="D11">
        <v>0.88622939999999994</v>
      </c>
      <c r="E11">
        <v>0.89655656366027103</v>
      </c>
      <c r="F11" t="s">
        <v>20</v>
      </c>
      <c r="G11" s="2">
        <v>0.20348216371366301</v>
      </c>
    </row>
    <row r="12" spans="1:10">
      <c r="B12" t="s">
        <v>8</v>
      </c>
      <c r="C12">
        <v>0.28943170000000001</v>
      </c>
      <c r="D12">
        <v>-0.78091540000000004</v>
      </c>
      <c r="E12">
        <v>-0.57736889999999996</v>
      </c>
      <c r="F12" t="s">
        <v>8</v>
      </c>
      <c r="G12" s="2">
        <v>8.8008870472831E-2</v>
      </c>
    </row>
    <row r="13" spans="1:10">
      <c r="B13" t="s">
        <v>9</v>
      </c>
      <c r="C13">
        <v>0.192223</v>
      </c>
      <c r="D13">
        <v>-0.89718030000000004</v>
      </c>
      <c r="E13">
        <v>-0.75453800000000004</v>
      </c>
      <c r="F13" t="s">
        <v>9</v>
      </c>
      <c r="G13" s="2">
        <v>0.13528812941257301</v>
      </c>
    </row>
    <row r="14" spans="1:10">
      <c r="B14" t="s">
        <v>10</v>
      </c>
      <c r="C14">
        <v>0.3253664</v>
      </c>
      <c r="D14">
        <v>-0.99774629999999997</v>
      </c>
      <c r="E14">
        <v>-0.70732150000000005</v>
      </c>
      <c r="F14" t="s">
        <v>10</v>
      </c>
      <c r="G14" s="2">
        <v>0.64519353995173001</v>
      </c>
    </row>
    <row r="15" spans="1:10">
      <c r="B15" t="s">
        <v>11</v>
      </c>
      <c r="C15">
        <v>0.51240430000000003</v>
      </c>
      <c r="D15">
        <v>-0.86013059999999997</v>
      </c>
      <c r="E15">
        <v>-0.71828610000000004</v>
      </c>
      <c r="F15" t="s">
        <v>11</v>
      </c>
      <c r="G15" s="2">
        <v>0.361184617270562</v>
      </c>
    </row>
    <row r="16" spans="1:10">
      <c r="B16" t="s">
        <v>12</v>
      </c>
      <c r="C16">
        <v>0.66476939999999995</v>
      </c>
      <c r="D16">
        <v>-0.68699770000000004</v>
      </c>
      <c r="E16">
        <v>0.94742599999999999</v>
      </c>
      <c r="F16" t="s">
        <v>12</v>
      </c>
      <c r="G16" s="2">
        <v>0.70520983037678697</v>
      </c>
    </row>
    <row r="17" spans="2:7">
      <c r="F17" t="s">
        <v>5</v>
      </c>
      <c r="G17" s="2">
        <v>4.3294131660969098E-2</v>
      </c>
    </row>
    <row r="19" spans="2:7">
      <c r="B19" t="s">
        <v>7</v>
      </c>
      <c r="C19">
        <v>-0.9857264</v>
      </c>
      <c r="D19">
        <v>0.96411800000000003</v>
      </c>
      <c r="E19">
        <v>0.12611695401152501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tabSelected="1" workbookViewId="0">
      <selection activeCell="M4" sqref="M4"/>
    </sheetView>
  </sheetViews>
  <sheetFormatPr baseColWidth="10" defaultRowHeight="15" x14ac:dyDescent="0"/>
  <cols>
    <col min="1" max="1" width="29.83203125" bestFit="1" customWidth="1"/>
  </cols>
  <sheetData>
    <row r="1" spans="1:13">
      <c r="B1" t="s">
        <v>14</v>
      </c>
      <c r="C1" t="s">
        <v>6</v>
      </c>
      <c r="D1" t="s">
        <v>4</v>
      </c>
      <c r="E1" t="s">
        <v>5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 spans="1:13">
      <c r="A2" s="1" t="s">
        <v>24</v>
      </c>
      <c r="B2" t="s">
        <v>2</v>
      </c>
      <c r="C2">
        <v>0.21500835339037999</v>
      </c>
      <c r="D2">
        <v>0.24037871742801101</v>
      </c>
      <c r="E2">
        <v>2.9592542939989201E-2</v>
      </c>
      <c r="G2">
        <v>0.239421408540162</v>
      </c>
      <c r="H2">
        <v>0.303746788255227</v>
      </c>
      <c r="I2">
        <v>7.8371981689310505E-2</v>
      </c>
      <c r="J2">
        <v>0.382979129536068</v>
      </c>
      <c r="K2">
        <v>0.52369543737505397</v>
      </c>
      <c r="M2">
        <f>AVERAGE(C2:K4,F6,J6)</f>
        <v>0.18869482545019328</v>
      </c>
    </row>
    <row r="3" spans="1:13">
      <c r="B3" t="s">
        <v>1</v>
      </c>
      <c r="C3">
        <v>0.25698739024943201</v>
      </c>
      <c r="D3">
        <v>2.5101560939601E-2</v>
      </c>
      <c r="E3">
        <v>0.29289291069163698</v>
      </c>
      <c r="F3">
        <v>0.136077862251334</v>
      </c>
      <c r="G3">
        <v>0.37043179595709302</v>
      </c>
      <c r="H3">
        <v>0.38881694461678901</v>
      </c>
      <c r="I3">
        <v>1.58280799174274E-2</v>
      </c>
      <c r="J3">
        <v>0.26754431886759</v>
      </c>
      <c r="K3">
        <v>0.24024688303526801</v>
      </c>
      <c r="M3">
        <f>AVERAGE(C2:K4)</f>
        <v>0.20781893030586673</v>
      </c>
    </row>
    <row r="4" spans="1:13">
      <c r="B4" t="s">
        <v>13</v>
      </c>
      <c r="C4">
        <v>0.24267145070415599</v>
      </c>
      <c r="D4">
        <v>5.7103521027515702E-2</v>
      </c>
      <c r="E4">
        <v>0.22703030598777901</v>
      </c>
      <c r="F4">
        <v>8.5306384024367493E-2</v>
      </c>
      <c r="G4">
        <v>0.164726082735345</v>
      </c>
      <c r="H4">
        <v>0.31961842353256698</v>
      </c>
      <c r="I4">
        <v>2.7735243712533601E-2</v>
      </c>
      <c r="K4">
        <v>6.4159740242030694E-2</v>
      </c>
    </row>
    <row r="5" spans="1:13">
      <c r="C5" t="s">
        <v>16</v>
      </c>
      <c r="D5" t="s">
        <v>25</v>
      </c>
      <c r="E5" t="s">
        <v>15</v>
      </c>
      <c r="F5" t="s">
        <v>26</v>
      </c>
      <c r="G5" t="s">
        <v>22</v>
      </c>
      <c r="H5" t="s">
        <v>17</v>
      </c>
      <c r="I5" t="s">
        <v>18</v>
      </c>
      <c r="J5" t="s">
        <v>23</v>
      </c>
      <c r="K5" t="s">
        <v>27</v>
      </c>
    </row>
    <row r="6" spans="1:13">
      <c r="F6">
        <v>-2.11324527447962E-2</v>
      </c>
      <c r="J6">
        <v>-7.9580517746653201E-2</v>
      </c>
    </row>
    <row r="23" spans="2:14" ht="16" thickBot="1"/>
    <row r="24" spans="2:14" ht="16" thickBot="1">
      <c r="B24" t="s">
        <v>14</v>
      </c>
      <c r="C24" s="4" t="s">
        <v>6</v>
      </c>
      <c r="D24" s="4" t="s">
        <v>4</v>
      </c>
      <c r="E24" s="4" t="s">
        <v>5</v>
      </c>
      <c r="F24" s="4" t="s">
        <v>7</v>
      </c>
      <c r="G24" s="4" t="s">
        <v>8</v>
      </c>
      <c r="H24" s="4" t="s">
        <v>9</v>
      </c>
      <c r="I24" s="4" t="s">
        <v>10</v>
      </c>
      <c r="J24" s="4" t="s">
        <v>11</v>
      </c>
      <c r="K24" s="4" t="s">
        <v>12</v>
      </c>
      <c r="L24" s="3"/>
      <c r="M24" s="3"/>
      <c r="N24" s="3"/>
    </row>
    <row r="25" spans="2:14">
      <c r="B25" t="s">
        <v>28</v>
      </c>
      <c r="C25" s="5">
        <v>0.15501406100000001</v>
      </c>
      <c r="D25" s="5">
        <v>0.19431554300000001</v>
      </c>
      <c r="G25" s="5">
        <v>0.34608744699999999</v>
      </c>
      <c r="H25" s="5">
        <v>0.344955126</v>
      </c>
      <c r="I25" s="5">
        <v>5.6733138000000002E-2</v>
      </c>
      <c r="J25" s="5">
        <v>0.32515260699999998</v>
      </c>
      <c r="K25" s="5">
        <v>0.36021372699999998</v>
      </c>
      <c r="M25" s="2"/>
      <c r="N25" s="2"/>
    </row>
    <row r="26" spans="2:14">
      <c r="B26" t="s">
        <v>29</v>
      </c>
      <c r="C26" s="2">
        <v>0.17621246643306199</v>
      </c>
      <c r="D26" s="2">
        <v>0.24260531149436301</v>
      </c>
      <c r="G26" s="2">
        <v>0.39478523849170999</v>
      </c>
      <c r="H26" s="2">
        <v>0.347969405722789</v>
      </c>
      <c r="I26" s="2">
        <v>6.2479996521071099E-2</v>
      </c>
      <c r="J26" s="2">
        <v>0.35980824028866498</v>
      </c>
      <c r="K26" s="2">
        <v>0.44984631182524998</v>
      </c>
      <c r="L26" s="2"/>
      <c r="M26" s="2"/>
      <c r="N26" s="2"/>
    </row>
    <row r="27" spans="2:14">
      <c r="E27" s="5">
        <v>-3.3343365999999999E-2</v>
      </c>
      <c r="F27" s="5">
        <v>-4.9783518999999998E-2</v>
      </c>
    </row>
    <row r="28" spans="2:14">
      <c r="E28" s="2">
        <v>-5.5149541840154297E-2</v>
      </c>
      <c r="F28" s="2">
        <v>-5.6515245983640203E-2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Genetic_cor_among_3YRs_WRONG</vt:lpstr>
      <vt:lpstr>GBLUP_among_3YRs</vt:lpstr>
    </vt:vector>
  </TitlesOfParts>
  <Company>osu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 Huang</dc:creator>
  <cp:lastModifiedBy>Mao Huang</cp:lastModifiedBy>
  <dcterms:created xsi:type="dcterms:W3CDTF">2021-07-13T19:31:27Z</dcterms:created>
  <dcterms:modified xsi:type="dcterms:W3CDTF">2021-07-19T16:10:21Z</dcterms:modified>
</cp:coreProperties>
</file>